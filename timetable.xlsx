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6901579F_B509_446D_AD4F_2963756386F3_.wvu.FilterData">'Faculty Timetable'!$A$1:$G$1087</definedName>
    <definedName hidden="1" localSheetId="4" name="Z_6901579F_B509_446D_AD4F_2963756386F3_.wvu.FilterData">Overall!$A$1:$H$268</definedName>
    <definedName hidden="1" localSheetId="5" name="Z_6901579F_B509_446D_AD4F_2963756386F3_.wvu.FilterData">'LMS Data'!$A$1:$H$186</definedName>
    <definedName hidden="1" localSheetId="5" name="Z_25B19687_BB0E_4262_8E84_D446073C4835_.wvu.FilterData">'LMS Data'!$A$1:$H$186</definedName>
    <definedName hidden="1" localSheetId="16" name="Z_A6448E11_F8F5_464B_9765_A3582ACD4CC5_.wvu.FilterData">'2K23-CS13'!$A$1:$I$56</definedName>
  </definedNames>
  <calcPr/>
  <customWorkbookViews>
    <customWorkbookView activeSheetId="0" maximized="1" windowHeight="0" windowWidth="0" guid="{6901579F-B509-446D-AD4F-2963756386F3}" name="Ehtisham"/>
    <customWorkbookView activeSheetId="0" maximized="1" windowHeight="0" windowWidth="0" guid="{A6448E11-F8F5-464B-9765-A3582ACD4CC5}" name="Waqar Ahmed"/>
    <customWorkbookView activeSheetId="0" maximized="1" windowHeight="0" windowWidth="0" guid="{25B19687-BB0E-4262-8E84-D446073C4835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<sst xmlns="http://schemas.openxmlformats.org/spreadsheetml/2006/main" count="15331" uniqueCount="1375">
  <si>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</si>
  <si>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</si>
  <si>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</si>
  <si>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</si>
  <si>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</si>
  <si>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</si>
  <si>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</si>
  <si>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</si>
  <si>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</si>
  <si>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</si>
  <si>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</si>
  <si>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</si>
  <si>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</si>
  <si>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</si>
  <si>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</si>
  <si>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</si>
  <si>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</si>
  <si>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</si>
  <si>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</si>
  <si>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</si>
  <si>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</si>
  <si>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</si>
  <si>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</si>
  <si>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</si>
  <si>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</si>
  <si>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</si>
  <si>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</si>
  <si>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</si>
  <si>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</si>
  <si>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</si>
  <si>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</si>
  <si>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</si>
  <si>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</si>
  <si>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</si>
  <si>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</si>
  <si>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</si>
  <si>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</si>
  <si>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</si>
  <si>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</si>
  <si>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</si>
  <si>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</si>
  <si>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</si>
  <si>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</si>
  <si>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</si>
  <si>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</si>
  <si>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</si>
  <si>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</si>
  <si>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</si>
  <si>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</si>
  <si>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</si>
  <si>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</si>
  <si>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</si>
  <si>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</si>
  <si>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</si>
  <si>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</si>
  <si>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</si>
  <si>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</si>
  <si>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</si>
  <si>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</si>
  <si>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</si>
  <si>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</si>
  <si>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</si>
  <si>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</si>
  <si>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</si>
  <si>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</si>
  <si>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</si>
  <si>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</si>
  <si>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</si>
  <si>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</si>
  <si>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</si>
  <si>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</si>
  <si>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</si>
  <si>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</si>
  <si>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</si>
  <si>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</si>
  <si>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</si>
  <si>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</si>
  <si>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</si>
  <si>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</si>
  <si>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</si>
  <si>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</si>
  <si>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</si>
  <si>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</si>
  <si>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</si>
  <si>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</si>
  <si>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</si>
  <si>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</si>
  <si>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</si>
  <si>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</si>
  <si>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</si>
  <si>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</si>
  <si>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</si>
  <si>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</si>
  <si>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</si>
  <si>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</si>
  <si>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</si>
  <si>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</si>
  <si>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</si>
  <si>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</si>
  <si>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</si>
  <si>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</si>
  <si>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</si>
  <si>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</si>
  <si>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</si>
  <si>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</si>
  <si>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</si>
  <si>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</si>
  <si>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</si>
  <si>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</si>
  <si>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</si>
  <si>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</si>
  <si>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</si>
  <si>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</si>
  <si>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</si>
  <si>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</si>
  <si>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</si>
  <si>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</si>
  <si>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</si>
  <si>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</si>
  <si>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</si>
  <si>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</si>
  <si>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</si>
  <si>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</si>
  <si>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</si>
  <si>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</si>
  <si>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</si>
  <si>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</si>
  <si>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</si>
  <si>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</si>
  <si>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</si>
  <si>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</si>
  <si>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</si>
  <si>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</si>
  <si>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</si>
  <si>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</si>
  <si>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</si>
  <si>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</si>
  <si>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</si>
  <si>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</si>
  <si>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</si>
  <si>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</si>
  <si>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</si>
  <si>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</si>
  <si>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</si>
  <si>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</si>
  <si>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</si>
  <si>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</si>
  <si>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</si>
  <si>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</si>
  <si>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</si>
  <si>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</si>
  <si>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</si>
  <si>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</si>
  <si>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</si>
  <si>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</si>
  <si>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</si>
  <si>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</si>
  <si>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</si>
  <si>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</si>
  <si>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</si>
  <si>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</si>
  <si>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</si>
  <si>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</si>
  <si>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</si>
  <si>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</si>
  <si>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</si>
  <si>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</si>
  <si>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</si>
  <si>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</si>
  <si>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</si>
  <si>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</si>
  <si>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</si>
  <si>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</si>
  <si>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</si>
  <si>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</si>
  <si>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</si>
  <si>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</si>
  <si>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</si>
  <si>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</si>
  <si>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</si>
  <si>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</si>
  <si>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</si>
  <si>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</si>
  <si>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</si>
  <si>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</si>
  <si>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</si>
  <si>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</si>
  <si>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</si>
  <si>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</si>
  <si>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</si>
  <si>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</si>
  <si>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</si>
  <si>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</si>
  <si>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</si>
  <si>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</si>
  <si>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</si>
  <si>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</si>
  <si>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</si>
  <si>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</si>
  <si>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</si>
  <si>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</si>
  <si>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</si>
  <si>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</si>
  <si>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</si>
  <si>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</si>
  <si>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</si>
  <si>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</si>
  <si>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</si>
  <si>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</si>
  <si>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</si>
  <si>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</si>
  <si>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</si>
  <si>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</si>
  <si>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</si>
  <si>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</si>
  <si>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</si>
  <si>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</si>
  <si>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</si>
  <si>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</si>
  <si>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</si>
  <si>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</si>
  <si>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</si>
  <si>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</si>
  <si>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</si>
  <si>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</si>
  <si>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</si>
  <si>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</si>
  <si>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</si>
  <si>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</si>
  <si>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</si>
  <si>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</si>
  <si>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</si>
  <si>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</si>
  <si>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</si>
  <si>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</si>
  <si>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</si>
  <si>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</si>
  <si>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</si>
  <si>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</si>
  <si>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</si>
  <si>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</si>
  <si>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</si>
  <si>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</si>
  <si>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</si>
  <si>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</si>
  <si>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</si>
  <si>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</si>
  <si>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</si>
  <si>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</si>
  <si>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</si>
  <si>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</si>
  <si>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</si>
  <si>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</si>
  <si>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</si>
  <si>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</si>
  <si>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</si>
  <si>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</si>
  <si>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</si>
  <si>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</si>
  <si>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</si>
  <si>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</si>
  <si>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</si>
  <si>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</si>
  <si>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</si>
  <si>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</si>
  <si>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</si>
  <si>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</si>
  <si>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</si>
  <si>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</si>
  <si>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</si>
  <si>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</si>
  <si>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</si>
  <si>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</si>
  <si>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</si>
  <si>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</si>
  <si>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</si>
  <si>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</si>
  <si>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</si>
  <si>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</si>
  <si>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</si>
  <si>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</si>
  <si>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</si>
  <si>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</si>
  <si>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</si>
  <si>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</si>
  <si>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</si>
  <si>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</si>
  <si>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</si>
  <si>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</si>
  <si>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</si>
  <si>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</si>
  <si>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</si>
  <si>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</si>
  <si>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</si>
  <si>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</si>
  <si>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</si>
  <si>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</si>
  <si>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</si>
  <si>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</si>
  <si>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</si>
  <si>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</si>
  <si>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</si>
  <si>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</si>
  <si>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</si>
  <si>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</si>
  <si>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</si>
  <si>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</si>
  <si>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</si>
  <si>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</si>
  <si>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</si>
  <si>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</si>
  <si>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</si>
  <si>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</si>
  <si>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</si>
  <si>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</si>
  <si>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</si>
  <si>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</si>
  <si>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</si>
  <si>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</si>
  <si>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</si>
  <si>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</si>
  <si>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</si>
  <si>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</si>
  <si>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</si>
  <si>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</si>
  <si>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</si>
  <si>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</si>
  <si>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</si>
  <si>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</si>
  <si>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</si>
  <si>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</si>
  <si>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</si>
  <si>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</si>
  <si>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</si>
  <si>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</si>
  <si>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</si>
  <si>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</si>
  <si>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</si>
  <si>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</si>
  <si>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</si>
  <si>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</si>
  <si>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</si>
  <si>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</si>
  <si>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</si>
  <si>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</si>
  <si>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</si>
  <si>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</si>
  <si>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</si>
  <si>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</si>
  <si>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</si>
  <si>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</si>
  <si>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</si>
  <si>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</si>
  <si>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</si>
  <si>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</si>
  <si>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</si>
  <si>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</si>
  <si>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</si>
  <si>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</si>
  <si>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</si>
  <si>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</si>
  <si>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</si>
  <si>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</si>
  <si>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</si>
  <si>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</si>
  <si>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</si>
  <si>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</si>
  <si>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</si>
  <si>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</si>
  <si>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</si>
  <si>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</si>
  <si>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</si>
  <si>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</si>
  <si>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</si>
  <si>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</si>
  <si>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</si>
  <si>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</si>
  <si>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</si>
  <si>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</si>
  <si>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</si>
  <si>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</si>
  <si>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</si>
  <si>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</si>
  <si>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</si>
  <si>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</si>
  <si>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</si>
  <si>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</si>
  <si>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</si>
  <si>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</si>
  <si>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</si>
  <si>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</si>
  <si>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</si>
  <si>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</si>
  <si>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</si>
  <si>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</si>
  <si>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</si>
  <si>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</si>
  <si>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</si>
  <si>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</si>
  <si>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</si>
  <si>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</si>
  <si>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</si>
  <si>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</si>
  <si>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</si>
  <si>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</si>
  <si>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</si>
  <si>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</si>
  <si>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</si>
  <si>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</si>
  <si>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</si>
  <si>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</si>
  <si>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</si>
  <si>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</si>
  <si>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</si>
  <si>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</si>
  <si>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</si>
  <si>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</si>
  <si>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</si>
  <si>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</si>
  <si>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</si>
  <si>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</si>
  <si>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</si>
  <si>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</si>
  <si>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</si>
  <si>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</si>
  <si>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</si>
  <si>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</si>
  <si>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</si>
  <si>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</si>
  <si>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</si>
  <si>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</si>
  <si>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</si>
  <si>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</si>
  <si>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</si>
  <si>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</si>
  <si>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</si>
  <si>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</si>
  <si>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</si>
  <si>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</si>
  <si>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</si>
  <si>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</si>
  <si>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</si>
  <si>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</si>
  <si>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</si>
  <si>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</si>
  <si>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</si>
  <si>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</si>
  <si>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</si>
  <si>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</si>
  <si>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</si>
  <si>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</si>
  <si>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</si>
  <si>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</si>
  <si>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</si>
  <si>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</si>
  <si>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</si>
  <si>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</si>
  <si>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</si>
  <si>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</si>
  <si>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</si>
  <si>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</si>
  <si>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</si>
  <si>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</si>
  <si>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</si>
  <si>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</si>
  <si>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</si>
  <si>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</si>
  <si>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</si>
  <si>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</si>
  <si>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</si>
  <si>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</si>
  <si>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</si>
  <si>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</si>
  <si>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</si>
  <si>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</si>
  <si>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</si>
  <si>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</si>
  <si>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</si>
  <si>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</si>
  <si>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</si>
  <si>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</si>
  <si>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</si>
  <si>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</si>
  <si>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</si>
  <si>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</si>
  <si>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</si>
  <si>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</si>
  <si>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</si>
  <si>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</si>
  <si>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</si>
  <si>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</si>
  <si>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</si>
  <si>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</si>
  <si>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</si>
  <si>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</si>
  <si>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</si>
  <si>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</si>
  <si>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</si>
  <si>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</si>
  <si>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</si>
  <si>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</si>
  <si>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</si>
  <si>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</si>
  <si>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</si>
  <si>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</si>
  <si>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</si>
  <si>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</si>
  <si>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</si>
  <si>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</si>
  <si>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</si>
  <si>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</si>
  <si>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</si>
  <si>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</si>
  <si>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</si>
  <si>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</si>
  <si>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</si>
  <si>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</si>
  <si>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</si>
  <si>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</si>
  <si>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</si>
  <si>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</si>
  <si>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</si>
  <si>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</si>
  <si>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</si>
  <si>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</si>
  <si>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</si>
  <si>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</si>
  <si>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</si>
  <si>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</si>
  <si>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</si>
  <si>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</si>
  <si>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</si>
  <si>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</si>
  <si>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</si>
  <si>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</si>
  <si>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</si>
  <si>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</si>
  <si>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</si>
  <si>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</si>
  <si>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</si>
  <si>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</si>
  <si>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</si>
  <si>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</si>
  <si>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</si>
  <si>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</si>
  <si>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</si>
  <si>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</si>
  <si>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</si>
  <si>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</si>
  <si>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</si>
  <si>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</si>
  <si>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</si>
  <si>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</si>
  <si>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</si>
  <si>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</si>
  <si>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</si>
  <si>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</si>
  <si>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</si>
  <si>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</si>
  <si>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</si>
  <si>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</si>
  <si>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</si>
  <si>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</si>
  <si>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</si>
  <si>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</si>
  <si>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</si>
  <si>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</si>
  <si>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</si>
  <si>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</si>
  <si>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</si>
  <si>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</si>
  <si>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</si>
  <si>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</si>
  <si>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</si>
  <si>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</si>
  <si>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</si>
  <si>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</si>
  <si>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</si>
  <si>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</si>
  <si>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</si>
  <si>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</si>
  <si>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</si>
  <si>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</si>
  <si>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</si>
  <si>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</si>
  <si>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</si>
  <si>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</si>
  <si>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</si>
  <si>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</si>
  <si>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</si>
  <si>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</si>
  <si>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</si>
  <si>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</si>
  <si>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</si>
  <si>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</si>
  <si>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</si>
  <si>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</si>
  <si>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</si>
  <si>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</si>
  <si>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</si>
  <si>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</si>
  <si>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</si>
  <si>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</si>
  <si>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</si>
  <si>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</si>
  <si>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</si>
  <si>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</si>
  <si>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</si>
  <si>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</si>
  <si>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</si>
  <si>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</si>
  <si>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</si>
  <si>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</si>
  <si>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</si>
  <si>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</si>
  <si>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</si>
  <si>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</si>
  <si>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</si>
  <si>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</si>
  <si>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</si>
  <si>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</si>
  <si>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</si>
  <si>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</si>
  <si>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</si>
  <si>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</si>
  <si>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</si>
  <si>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</si>
  <si>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</si>
  <si>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</si>
  <si>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</si>
  <si>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</si>
  <si>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</si>
  <si>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</si>
  <si>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</si>
  <si>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</si>
  <si>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</si>
  <si>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</si>
  <si>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</si>
  <si>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</si>
  <si>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</si>
  <si>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</si>
  <si>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</si>
  <si>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</si>
  <si>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</si>
  <si>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</si>
  <si>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</si>
  <si>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</si>
  <si>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</si>
  <si>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</si>
  <si>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</si>
  <si>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</si>
  <si>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</si>
  <si>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</si>
  <si>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</si>
  <si>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</si>
  <si>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</si>
  <si>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</si>
  <si>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</si>
  <si>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</si>
  <si>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</si>
  <si>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</si>
  <si>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</si>
  <si>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</si>
  <si>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</si>
  <si>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</si>
  <si>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</si>
  <si>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</si>
  <si>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</si>
  <si>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</si>
  <si>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</si>
  <si>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</si>
  <si>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</si>
  <si>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</si>
  <si>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</si>
  <si>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</si>
  <si>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</si>
  <si>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</si>
  <si>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</si>
  <si>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</si>
  <si>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</si>
  <si>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</si>
  <si>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</si>
  <si>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</si>
  <si>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</si>
  <si>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</si>
  <si>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</si>
  <si>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</si>
  <si>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</si>
  <si>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</si>
  <si>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</si>
  <si>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</si>
  <si>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</si>
  <si>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</si>
  <si>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</si>
  <si>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</si>
  <si>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</si>
  <si>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</si>
  <si>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</si>
  <si>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</si>
  <si>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</si>
  <si>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</si>
  <si>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</si>
  <si>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</si>
  <si>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</si>
  <si>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</si>
  <si>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</si>
  <si>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</si>
  <si>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</si>
  <si>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</si>
  <si>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</si>
  <si>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</si>
  <si>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</si>
  <si>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</si>
  <si>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</si>
  <si>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</si>
  <si>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</si>
  <si>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</si>
  <si>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</si>
  <si>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</si>
  <si>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</si>
  <si>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</si>
  <si>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</si>
  <si>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</si>
  <si>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</si>
  <si>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</si>
  <si>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</si>
  <si>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</si>
  <si>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</si>
  <si>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</si>
  <si>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</si>
  <si>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</si>
  <si>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</si>
  <si>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</si>
  <si>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</si>
  <si>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</si>
  <si>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</si>
  <si>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</si>
  <si>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</si>
  <si>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</si>
  <si>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</si>
  <si>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</si>
  <si>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</si>
  <si>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</si>
  <si>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</si>
  <si>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</si>
  <si>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</si>
  <si>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</si>
  <si>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</si>
  <si>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</si>
  <si>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</si>
  <si>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</si>
  <si>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</si>
  <si>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</si>
  <si>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</si>
  <si>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</si>
  <si>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</si>
  <si>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</si>
  <si>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</si>
  <si>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</si>
  <si>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</si>
  <si>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</si>
  <si>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</si>
  <si>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</si>
  <si>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</si>
  <si>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</si>
  <si>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</si>
  <si>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</si>
  <si>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</si>
  <si>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</si>
  <si>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</si>
  <si>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</si>
  <si>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</si>
  <si>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</si>
  <si>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</si>
  <si>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</si>
  <si>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</si>
  <si>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</si>
  <si>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</si>
  <si>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</si>
  <si>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</si>
  <si>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</si>
  <si>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</si>
  <si>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</si>
  <si>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</si>
  <si>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</si>
  <si>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</si>
  <si>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</si>
  <si>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</si>
  <si>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</si>
  <si>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</si>
  <si>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</si>
  <si>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</si>
  <si>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</si>
  <si>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</si>
  <si>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</si>
  <si>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</si>
  <si>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</si>
  <si>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</si>
  <si>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</si>
  <si>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</si>
  <si>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</si>
  <si>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</si>
  <si>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</si>
  <si>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</si>
  <si>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</si>
  <si>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</si>
  <si>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</si>
  <si>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</si>
  <si>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</si>
  <si>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</si>
  <si>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</si>
  <si>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</si>
  <si>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</si>
  <si>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</si>
  <si>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</si>
  <si>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</si>
  <si>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</si>
  <si>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</si>
  <si>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</si>
  <si>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</si>
  <si>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</si>
  <si>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</si>
  <si>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</si>
  <si>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</si>
  <si>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</si>
  <si>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</si>
  <si>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</si>
  <si>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</si>
  <si>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</si>
  <si>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</si>
  <si>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</si>
  <si>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</si>
  <si>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</si>
  <si>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</si>
  <si>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</si>
  <si>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</si>
  <si>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</si>
  <si>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</si>
  <si>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</si>
  <si>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</si>
  <si>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</si>
  <si>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</si>
  <si>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</si>
  <si>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</si>
  <si>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</si>
  <si>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</si>
  <si>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</si>
  <si>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</si>
  <si>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</si>
  <si>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</si>
  <si>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</si>
  <si>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</si>
  <si>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</si>
  <si>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</si>
  <si>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</si>
  <si>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</si>
  <si>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</si>
  <si>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</si>
  <si>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</si>
  <si>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</si>
  <si>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</si>
  <si>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</si>
  <si>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</si>
  <si>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</si>
  <si>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</si>
  <si>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</si>
  <si>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</si>
  <si>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</si>
  <si>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</si>
  <si>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</si>
  <si>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</si>
  <si>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</si>
  <si>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</si>
  <si>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</si>
  <si>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</si>
  <si>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</si>
  <si>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</si>
  <si>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</si>
  <si>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</si>
  <si>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</si>
  <si>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</si>
  <si>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</si>
  <si>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</si>
  <si>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</si>
  <si>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</si>
  <si>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</si>
  <si>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</si>
  <si>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</si>
  <si>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</si>
  <si>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</si>
  <si>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</si>
  <si>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</si>
  <si>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</si>
  <si>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</si>
  <si>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</si>
  <si>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</si>
  <si>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</si>
  <si>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</si>
  <si>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</si>
  <si>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</si>
  <si>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</si>
  <si>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</si>
  <si>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</si>
  <si>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</si>
  <si>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</si>
  <si>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</si>
  <si>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</si>
  <si>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</si>
  <si>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</si>
  <si>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</si>
  <si>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</si>
  <si>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</si>
  <si>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</si>
  <si>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</si>
  <si>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</si>
  <si>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</si>
  <si>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</si>
  <si>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</si>
  <si>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</si>
  <si>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</si>
  <si>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</si>
  <si>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</si>
  <si>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</si>
  <si>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</si>
  <si>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</si>
  <si>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</si>
  <si>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</si>
  <si>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</si>
  <si>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</si>
  <si>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</si>
  <si>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</si>
  <si>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</si>
  <si>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</si>
  <si>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</si>
  <si>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</si>
  <si>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</si>
  <si>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</si>
  <si>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</si>
  <si>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</si>
  <si>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</si>
  <si>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</si>
  <si>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</si>
  <si>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</si>
  <si>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</si>
  <si>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</si>
  <si>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</si>
  <si>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</si>
  <si>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</si>
  <si>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</si>
  <si>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</si>
  <si>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</si>
  <si>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</si>
  <si>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</si>
  <si>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</si>
  <si>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</si>
  <si>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</si>
  <si>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</si>
  <si>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</si>
  <si>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</si>
  <si>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</si>
  <si>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</si>
  <si>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</si>
  <si>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</si>
  <si>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</si>
  <si>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</si>
  <si>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</si>
  <si>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</si>
  <si>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</si>
  <si>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</si>
  <si>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</si>
  <si>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</si>
  <si>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</si>
  <si>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</si>
  <si>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</si>
  <si>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</si>
  <si>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</si>
  <si>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</si>
  <si>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</si>
  <si>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</si>
  <si>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</si>
  <si>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</si>
  <si>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</si>
  <si>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</si>
  <si>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</si>
  <si>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</si>
  <si>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</si>
  <si>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</si>
  <si>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</si>
  <si>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</si>
  <si>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</si>
  <si>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</si>
  <si>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</si>
  <si>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</si>
  <si>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</si>
  <si>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</si>
  <si>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</si>
  <si>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</si>
  <si>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</si>
  <si>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</si>
  <si>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</si>
  <si>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</si>
  <si>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</si>
  <si>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</si>
  <si>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</si>
  <si>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</si>
  <si>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</si>
  <si>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</si>
  <si>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</si>
  <si>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</si>
  <si>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</si>
  <si>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</si>
  <si>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</si>
  <si>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</si>
  <si>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</si>
  <si>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</si>
  <si>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</si>
  <si>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</si>
  <si>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</si>
  <si>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</si>
  <si>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</si>
  <si>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</si>
  <si>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</si>
  <si>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</si>
  <si>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</si>
  <si>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</si>
  <si>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</si>
  <si>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</si>
  <si>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</si>
  <si>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</si>
  <si>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</si>
  <si>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</si>
  <si>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</si>
  <si>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</si>
  <si>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</si>
  <si>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</si>
  <si>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</si>
  <si>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</si>
  <si>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</si>
  <si>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</si>
  <si>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</si>
  <si>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</si>
  <si>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</si>
  <si>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</si>
  <si>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</si>
  <si>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</si>
  <si>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</si>
  <si>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</si>
  <si>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</si>
  <si>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</si>
  <si>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</si>
  <si>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</si>
  <si>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</si>
  <si>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</si>
  <si>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</si>
  <si>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</si>
  <si>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</si>
  <si>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</si>
  <si>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</si>
  <si>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</si>
  <si>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</si>
  <si>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</si>
  <si>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</si>
  <si>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</si>
  <si>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</si>
  <si>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</si>
  <si>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</si>
  <si>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</si>
  <si>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</si>
  <si>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</si>
  <si>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</si>
  <si>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</si>
  <si>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</si>
  <si>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</si>
  <si>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</si>
  <si>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</si>
  <si>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</si>
  <si>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</si>
  <si>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</si>
  <si>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</si>
  <si>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</si>
  <si>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</si>
  <si>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</si>
  <si>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</si>
  <si>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</si>
  <si>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</si>
  <si>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</si>
  <si>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</si>
  <si>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</si>
  <si>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</si>
  <si>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</si>
  <si>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</si>
  <si>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</si>
  <si>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</si>
  <si>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</si>
  <si>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</si>
  <si>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</si>
  <si>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</si>
  <si>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</si>
  <si>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</si>
  <si>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</si>
  <si>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</si>
  <si>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</si>
  <si>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</si>
  <si>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</si>
  <si>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</si>
  <si>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</si>
  <si>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</si>
  <si>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</si>
  <si>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</si>
  <si>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 xml:space="preserve">Makeup 2K23-BEE-15C | EE371-LCS | Dr. Farid Gul | Thurs, 30 Apr, 2026 @ 1200-1250 in  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</si>
  <si>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</si>
  <si>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</si>
  <si>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</si>
  <si>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</si>
  <si>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</si>
  <si>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</si>
  <si>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</si>
  <si>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</si>
  <si>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</si>
  <si>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</si>
  <si>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</si>
  <si>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</si>
  <si>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</si>
  <si>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</si>
  <si>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</si>
  <si>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</si>
  <si>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</si>
  <si>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</si>
  <si>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</si>
  <si>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</si>
  <si>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</si>
  <si>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</si>
  <si>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</si>
  <si>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</si>
  <si>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</si>
  <si>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</si>
  <si>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</si>
  <si>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</si>
  <si>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</si>
  <si>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</si>
  <si>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</si>
  <si>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</si>
  <si>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</si>
  <si>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</si>
  <si>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</si>
  <si>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</si>
  <si>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</si>
  <si>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</si>
  <si>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</si>
  <si>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</si>
  <si>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</si>
  <si>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</si>
  <si>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</si>
  <si>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</si>
  <si>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</si>
  <si>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</si>
  <si>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</si>
  <si>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</si>
  <si>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</si>
  <si>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</si>
  <si>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</si>
  <si>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</si>
  <si>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</si>
  <si>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</si>
  <si>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</si>
  <si>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</si>
  <si>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</si>
  <si>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</si>
  <si>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</si>
  <si>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</si>
  <si>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</si>
  <si>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</si>
  <si>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</si>
  <si>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</si>
  <si>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</si>
  <si>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</si>
  <si>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</si>
  <si>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</si>
  <si>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</si>
  <si>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</si>
  <si>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</si>
  <si>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</si>
  <si>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</si>
  <si>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</si>
  <si>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</si>
  <si>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</si>
  <si>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</si>
  <si>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</si>
  <si>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</si>
  <si>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</si>
  <si>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</si>
  <si>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</si>
  <si>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</si>
  <si>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</si>
  <si>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</si>
  <si>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</si>
  <si>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</si>
  <si>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</si>
  <si>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</si>
  <si>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</si>
  <si>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</si>
  <si>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</si>
  <si>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</si>
  <si>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</si>
  <si>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</si>
  <si>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2K24-BESE-15A&amp;B | MATH361-PoS | Ms. Ansar Shahzadi | Thurs, 23 Apr, 2026 @ 0900-1050 | 1x Rglr 1x Mkp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</si>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</sst>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6901579F-B509-446D-AD4F-2963756386F3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6901579F-B509-446D-AD4F-2963756386F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25B19687-BB0E-4262-8E84-D446073C483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901579F-B509-446D-AD4F-2963756386F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4" t="s">
        <v>1109</v>
      </c>
      <c r="G29" s="45" t="s">
        <v>1059</v>
      </c>
      <c r="H29" s="104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6448E11-F8F5-464B-9765-A3582ACD4CC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295" t="s">
        <v>1047</v>
      </c>
      <c r="E12" s="306" t="s">
        <v>1304</v>
      </c>
      <c r="F12" s="295" t="s">
        <v>1047</v>
      </c>
      <c r="G12" s="307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8" t="s">
        <v>1043</v>
      </c>
      <c r="B14" s="229" t="s">
        <v>1044</v>
      </c>
      <c r="C14" s="308" t="s">
        <v>117</v>
      </c>
      <c r="D14" s="308" t="s">
        <v>128</v>
      </c>
      <c r="E14" s="308" t="s">
        <v>138</v>
      </c>
      <c r="F14" s="308" t="s">
        <v>133</v>
      </c>
      <c r="G14" s="290" t="s">
        <v>1044</v>
      </c>
      <c r="H14" s="308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9" t="s">
        <v>496</v>
      </c>
      <c r="D15" s="288" t="s">
        <v>500</v>
      </c>
      <c r="E15" s="306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0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0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0" t="s">
        <v>1307</v>
      </c>
      <c r="D23" s="295" t="s">
        <v>1047</v>
      </c>
      <c r="E23" s="296" t="s">
        <v>484</v>
      </c>
      <c r="F23" s="299" t="s">
        <v>493</v>
      </c>
      <c r="G23" s="307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8" t="s">
        <v>1043</v>
      </c>
      <c r="B25" s="229" t="s">
        <v>1044</v>
      </c>
      <c r="C25" s="308" t="s">
        <v>117</v>
      </c>
      <c r="D25" s="308" t="s">
        <v>128</v>
      </c>
      <c r="E25" s="308" t="s">
        <v>138</v>
      </c>
      <c r="F25" s="308" t="s">
        <v>133</v>
      </c>
      <c r="G25" s="290" t="s">
        <v>1044</v>
      </c>
      <c r="H25" s="308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9" t="s">
        <v>504</v>
      </c>
      <c r="D26" s="295" t="s">
        <v>1047</v>
      </c>
      <c r="E26" s="295" t="s">
        <v>1047</v>
      </c>
      <c r="F26" s="288" t="s">
        <v>491</v>
      </c>
      <c r="G26" s="311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9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9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2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7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8" t="s">
        <v>1043</v>
      </c>
      <c r="B36" s="229" t="s">
        <v>1044</v>
      </c>
      <c r="C36" s="308" t="s">
        <v>117</v>
      </c>
      <c r="D36" s="308" t="s">
        <v>128</v>
      </c>
      <c r="E36" s="308" t="s">
        <v>138</v>
      </c>
      <c r="F36" s="308" t="s">
        <v>133</v>
      </c>
      <c r="G36" s="290" t="s">
        <v>1044</v>
      </c>
      <c r="H36" s="308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1" t="s">
        <v>1048</v>
      </c>
      <c r="H37" s="309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99" t="s">
        <v>1047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7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1315</v>
      </c>
      <c r="F48" s="288" t="s">
        <v>1316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1317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1318</v>
      </c>
      <c r="F50" s="288" t="s">
        <v>1319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1320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1321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1322</v>
      </c>
      <c r="F53" s="288" t="s">
        <v>1323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5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1328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1331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5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294" t="s">
        <v>1333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94" t="s">
        <v>1333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1335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5" t="s">
        <v>1047</v>
      </c>
      <c r="E49" s="334" t="s">
        <v>534</v>
      </c>
      <c r="F49" s="295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1336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1337</v>
      </c>
      <c r="D51" s="335" t="s">
        <v>407</v>
      </c>
      <c r="E51" s="191" t="s">
        <v>538</v>
      </c>
      <c r="F51" s="335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1339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1340</v>
      </c>
      <c r="F59" s="342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1342</v>
      </c>
      <c r="F60" s="342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1344</v>
      </c>
      <c r="F61" s="342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1346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1352</v>
      </c>
      <c r="G12" s="166"/>
      <c r="H12" s="80" t="s">
        <v>573</v>
      </c>
      <c r="I12" s="357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1369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1371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