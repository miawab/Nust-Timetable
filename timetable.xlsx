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8DB085DD_4F8C_4093_9B71_787F920D50CB_.wvu.FilterData">'2K23-CS13'!$A$1:$I$56</definedName>
    <definedName hidden="1" localSheetId="5" name="Z_882EDBA6_046C_439C_920D_A14D77DE9D61_.wvu.FilterData">'LMS Data'!$A$1:$H$186</definedName>
    <definedName hidden="1" localSheetId="2" name="Z_387106EB_24BB_4A17_95F1_6F2BCB58499B_.wvu.FilterData">'Faculty Timetable'!$A$1:$G$1087</definedName>
    <definedName hidden="1" localSheetId="4" name="Z_387106EB_24BB_4A17_95F1_6F2BCB58499B_.wvu.FilterData">Overall!$A$1:$H$268</definedName>
    <definedName hidden="1" localSheetId="5" name="Z_387106EB_24BB_4A17_95F1_6F2BCB58499B_.wvu.FilterData">'LMS Data'!$A$1:$H$186</definedName>
  </definedNames>
  <calcPr/>
  <customWorkbookViews>
    <customWorkbookView activeSheetId="0" maximized="1" windowHeight="0" windowWidth="0" guid="{387106EB-24BB-4A17-95F1-6F2BCB58499B}" name="Ehtisham"/>
    <customWorkbookView activeSheetId="0" maximized="1" windowHeight="0" windowWidth="0" guid="{8DB085DD-4F8C-4093-9B71-787F920D50CB}" name="Waqar Ahmed"/>
    <customWorkbookView activeSheetId="0" maximized="1" windowHeight="0" windowWidth="0" guid="{882EDBA6-046C-439C-920D-A14D77DE9D61}" name="Ali Abbas Hussani"/>
  </customWorkbookViews>
</workbook>
</file>

<file path=xl/sharedStrings.xml><?xml version="1.0" encoding="utf-8"?>
<sst xmlns="http://schemas.openxmlformats.org/spreadsheetml/2006/main" count="15331" uniqueCount="1360">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</sst>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387106EB-24BB-4A17-95F1-6F2BCB58499B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387106EB-24BB-4A17-95F1-6F2BCB58499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882EDBA6-046C-439C-920D-A14D77DE9D6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87106EB-24BB-4A17-95F1-6F2BCB58499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DB085DD-4F8C-4093-9B71-787F920D50C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293" t="s">
        <v>1047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1300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293" t="s">
        <v>1047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1302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1303</v>
      </c>
      <c r="F48" s="287" t="s">
        <v>1304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1305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1306</v>
      </c>
      <c r="F50" s="287" t="s">
        <v>1307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1308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1309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1310</v>
      </c>
      <c r="F53" s="287" t="s">
        <v>1311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1312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1313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1314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1315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1316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1318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1319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1320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1320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1321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1322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1323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1324</v>
      </c>
      <c r="D51" s="334" t="s">
        <v>407</v>
      </c>
      <c r="E51" s="191" t="s">
        <v>538</v>
      </c>
      <c r="F51" s="334" t="s">
        <v>1325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1326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1327</v>
      </c>
      <c r="F59" s="341" t="s">
        <v>1328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1329</v>
      </c>
      <c r="F60" s="341" t="s">
        <v>1330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1331</v>
      </c>
      <c r="F61" s="341" t="s">
        <v>1332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1333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1334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1335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1336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1337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1338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1337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1339</v>
      </c>
      <c r="G12" s="166"/>
      <c r="H12" s="79" t="s">
        <v>573</v>
      </c>
      <c r="I12" s="356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1342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1343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1344</v>
      </c>
      <c r="G12" s="166"/>
      <c r="H12" s="365" t="s">
        <v>1047</v>
      </c>
      <c r="I12" s="370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1345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1346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1347</v>
      </c>
      <c r="F5" s="107" t="s">
        <v>1348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1349</v>
      </c>
      <c r="G6" s="275" t="s">
        <v>1054</v>
      </c>
      <c r="H6" s="114" t="s">
        <v>1350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1351</v>
      </c>
      <c r="D7" s="47" t="s">
        <v>523</v>
      </c>
      <c r="E7" s="47" t="s">
        <v>531</v>
      </c>
      <c r="F7" s="47" t="s">
        <v>1352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1353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1355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1356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1358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1359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1359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1359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