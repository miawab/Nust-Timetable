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491F105_6DE1_49EC_8711_D6AD3EE8C6F8_.wvu.FilterData">'2K23-CS13'!$A$1:$I$56</definedName>
    <definedName hidden="1" localSheetId="5" name="Z_52FA4AFB_C3C3_4959_A1F9_1BD28A700ED5_.wvu.FilterData">'LMS Data'!$A$1:$H$186</definedName>
    <definedName hidden="1" localSheetId="2" name="Z_90B6A6F8_ACE6_4D23_BF97_B7C099C949DB_.wvu.FilterData">'Faculty Timetable'!$A$1:$G$1087</definedName>
    <definedName hidden="1" localSheetId="4" name="Z_90B6A6F8_ACE6_4D23_BF97_B7C099C949DB_.wvu.FilterData">Overall!$A$1:$H$268</definedName>
    <definedName hidden="1" localSheetId="5" name="Z_90B6A6F8_ACE6_4D23_BF97_B7C099C949DB_.wvu.FilterData">'LMS Data'!$A$1:$H$186</definedName>
  </definedNames>
  <calcPr/>
  <customWorkbookViews>
    <customWorkbookView activeSheetId="0" maximized="1" windowHeight="0" windowWidth="0" guid="{90B6A6F8-ACE6-4D23-BF97-B7C099C949DB}" name="Ehtisham"/>
    <customWorkbookView activeSheetId="0" maximized="1" windowHeight="0" windowWidth="0" guid="{9491F105-6DE1-49EC-8711-D6AD3EE8C6F8}" name="Waqar Ahmed"/>
    <customWorkbookView activeSheetId="0" maximized="1" windowHeight="0" windowWidth="0" guid="{52FA4AFB-C3C3-4959-A1F9-1BD28A700ED5}" name="Ali Abbas Hussani"/>
  </customWorkbookViews>
</workbook>
</file>

<file path=xl/sharedStrings.xml><?xml version="1.0" encoding="utf-8"?>
<sst xmlns="http://schemas.openxmlformats.org/spreadsheetml/2006/main" count="15331" uniqueCount="1343">
  <si>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</si>
  <si>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</si>
  <si>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</si>
  <si>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</si>
  <si>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</si>
  <si>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</si>
  <si>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</si>
  <si>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</si>
  <si>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</si>
  <si>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</si>
  <si>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</si>
  <si>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</si>
  <si>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</si>
  <si>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</si>
  <si>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</si>
  <si>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</si>
  <si>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</si>
  <si>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</si>
  <si>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</si>
  <si>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</si>
  <si>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</si>
  <si>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</si>
  <si>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</si>
  <si>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</si>
  <si>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</si>
  <si>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</si>
  <si>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</si>
  <si>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</si>
  <si>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</si>
  <si>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</si>
  <si>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</si>
  <si>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</si>
  <si>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</si>
  <si>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</si>
  <si>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</si>
  <si>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</si>
  <si>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</si>
  <si>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</si>
  <si>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</si>
  <si>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</si>
  <si>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</si>
  <si>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</si>
  <si>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</si>
  <si>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</si>
  <si>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</si>
  <si>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</si>
  <si>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</si>
  <si>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</si>
  <si>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</si>
  <si>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</si>
  <si>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</si>
  <si>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</si>
  <si>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</si>
  <si>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</si>
  <si>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</si>
  <si>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</si>
  <si>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</si>
  <si>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</si>
  <si>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</si>
  <si>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</si>
  <si>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</si>
  <si>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</si>
  <si>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</si>
  <si>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</si>
  <si>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</si>
  <si>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</si>
  <si>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</si>
  <si>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</si>
  <si>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</si>
  <si>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</si>
  <si>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</si>
  <si>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</si>
  <si>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</si>
  <si>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</si>
  <si>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</si>
  <si>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</si>
  <si>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</si>
  <si>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</si>
  <si>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</si>
  <si>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</si>
  <si>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</si>
  <si>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</si>
  <si>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</si>
  <si>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</si>
  <si>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</si>
  <si>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</si>
  <si>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</si>
  <si>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</si>
  <si>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</si>
  <si>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</si>
  <si>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</si>
  <si>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</si>
  <si>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</si>
  <si>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</si>
  <si>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</si>
  <si>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</si>
  <si>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</si>
  <si>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</si>
  <si>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</si>
  <si>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</si>
  <si>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</si>
  <si>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</si>
  <si>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</si>
  <si>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</si>
  <si>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</si>
  <si>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</si>
  <si>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</si>
  <si>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</si>
  <si>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</si>
  <si>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</si>
  <si>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</si>
  <si>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</si>
  <si>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</si>
  <si>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</si>
  <si>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</si>
  <si>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</si>
  <si>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</si>
  <si>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</si>
  <si>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</si>
  <si>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</si>
  <si>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</si>
  <si>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</si>
  <si>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</si>
  <si>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</si>
  <si>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</si>
  <si>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</si>
  <si>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</si>
  <si>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</si>
  <si>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</si>
  <si>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</si>
  <si>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</si>
  <si>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</si>
  <si>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</si>
  <si>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</si>
  <si>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</si>
  <si>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</si>
  <si>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</si>
  <si>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</si>
  <si>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</si>
  <si>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</si>
  <si>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</si>
  <si>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</si>
  <si>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</si>
  <si>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</si>
  <si>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</si>
  <si>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</si>
  <si>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</si>
  <si>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</si>
  <si>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</si>
  <si>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</si>
  <si>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</si>
  <si>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</si>
  <si>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</si>
  <si>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</si>
  <si>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</si>
  <si>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</si>
  <si>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</si>
  <si>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</si>
  <si>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</si>
  <si>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</si>
  <si>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</si>
  <si>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</si>
  <si>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</si>
  <si>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</si>
  <si>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</si>
  <si>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</si>
  <si>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</si>
  <si>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</si>
  <si>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</si>
  <si>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</si>
  <si>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</si>
  <si>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</si>
  <si>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</si>
  <si>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</si>
  <si>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</si>
  <si>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</si>
  <si>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</si>
  <si>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</si>
  <si>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</si>
  <si>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</si>
  <si>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</si>
  <si>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</si>
  <si>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</si>
  <si>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</si>
  <si>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</si>
  <si>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</si>
  <si>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</si>
  <si>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</si>
  <si>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</si>
  <si>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</si>
  <si>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</si>
  <si>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</si>
  <si>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</si>
  <si>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</si>
  <si>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</si>
  <si>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</si>
  <si>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</si>
  <si>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</si>
  <si>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</si>
  <si>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</si>
  <si>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</si>
  <si>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</si>
  <si>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</si>
  <si>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</si>
  <si>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</si>
  <si>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</si>
  <si>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</si>
  <si>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</si>
  <si>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</si>
  <si>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</si>
  <si>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</si>
  <si>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</si>
  <si>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</si>
  <si>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</si>
  <si>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</si>
  <si>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</si>
  <si>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</si>
  <si>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</si>
  <si>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</si>
  <si>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</si>
  <si>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</si>
  <si>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</si>
  <si>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</si>
  <si>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</si>
  <si>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</si>
  <si>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</si>
  <si>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</si>
  <si>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</si>
  <si>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</si>
  <si>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</si>
  <si>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</si>
  <si>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</si>
  <si>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</si>
  <si>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</si>
  <si>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</si>
  <si>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</si>
  <si>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</si>
  <si>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</si>
  <si>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</si>
  <si>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</si>
  <si>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</si>
  <si>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</si>
  <si>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</si>
  <si>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</si>
  <si>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</si>
  <si>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</si>
  <si>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</si>
  <si>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</si>
  <si>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</si>
  <si>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</si>
  <si>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</si>
  <si>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</si>
  <si>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</si>
  <si>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</si>
  <si>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</si>
  <si>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</si>
  <si>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</si>
  <si>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</si>
  <si>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</si>
  <si>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</si>
  <si>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</si>
  <si>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</si>
  <si>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</si>
  <si>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</si>
  <si>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</si>
  <si>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</si>
  <si>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</si>
  <si>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</si>
  <si>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</si>
  <si>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</si>
  <si>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</si>
  <si>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</si>
  <si>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</si>
  <si>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</si>
  <si>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</si>
  <si>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</si>
  <si>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</si>
  <si>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</si>
  <si>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</si>
  <si>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</si>
  <si>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</si>
  <si>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</si>
  <si>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</si>
  <si>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</si>
  <si>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</si>
  <si>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</si>
  <si>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</si>
  <si>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</si>
  <si>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</si>
  <si>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</si>
  <si>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</si>
  <si>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</si>
  <si>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</si>
  <si>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</si>
  <si>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</si>
  <si>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</si>
  <si>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</si>
  <si>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</si>
  <si>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</si>
  <si>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</si>
  <si>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</si>
  <si>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</si>
  <si>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</si>
  <si>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</si>
  <si>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</si>
  <si>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</si>
  <si>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</si>
  <si>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</si>
  <si>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</si>
  <si>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</si>
  <si>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</si>
  <si>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</si>
  <si>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</si>
  <si>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</si>
  <si>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</si>
  <si>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</si>
  <si>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</si>
  <si>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</si>
  <si>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</si>
  <si>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</si>
  <si>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</si>
  <si>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</si>
  <si>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</si>
  <si>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</si>
  <si>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</si>
  <si>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</si>
  <si>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</si>
  <si>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</si>
  <si>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</si>
  <si>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</si>
  <si>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</si>
  <si>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</si>
  <si>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</si>
  <si>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</si>
  <si>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</si>
  <si>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</si>
  <si>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</si>
  <si>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</si>
  <si>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</si>
  <si>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</si>
  <si>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</si>
  <si>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</si>
  <si>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</si>
  <si>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</si>
  <si>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</si>
  <si>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</si>
  <si>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</si>
  <si>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</si>
  <si>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</si>
  <si>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</si>
  <si>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</si>
  <si>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</si>
  <si>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</si>
  <si>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</si>
  <si>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</si>
  <si>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</si>
  <si>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</si>
  <si>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</si>
  <si>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</si>
  <si>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</si>
  <si>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</si>
  <si>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</si>
  <si>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</si>
  <si>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</si>
  <si>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</si>
  <si>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</si>
  <si>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</si>
  <si>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</si>
  <si>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</si>
  <si>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</si>
  <si>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</si>
  <si>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</si>
  <si>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</si>
  <si>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</si>
  <si>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</si>
  <si>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</si>
  <si>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</si>
  <si>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</si>
  <si>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</si>
  <si>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</si>
  <si>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</si>
  <si>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</si>
  <si>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</si>
  <si>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</si>
  <si>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</si>
  <si>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</si>
  <si>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</si>
  <si>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</si>
  <si>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</si>
  <si>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</si>
  <si>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</si>
  <si>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</si>
  <si>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</si>
  <si>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</si>
  <si>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</si>
  <si>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</si>
  <si>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</si>
  <si>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</si>
  <si>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</si>
  <si>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</si>
  <si>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</si>
  <si>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</si>
  <si>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</si>
  <si>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</si>
  <si>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</si>
  <si>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</si>
  <si>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</si>
  <si>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</si>
  <si>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</si>
  <si>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</si>
  <si>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</si>
  <si>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</si>
  <si>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</si>
  <si>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</si>
  <si>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</si>
  <si>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</si>
  <si>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</si>
  <si>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</si>
  <si>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</si>
  <si>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</si>
  <si>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</si>
  <si>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</si>
  <si>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</si>
  <si>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</si>
  <si>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</si>
  <si>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</si>
  <si>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</si>
  <si>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</si>
  <si>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</si>
  <si>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</si>
  <si>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</si>
  <si>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</si>
  <si>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</si>
  <si>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</si>
  <si>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</si>
  <si>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</si>
  <si>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</si>
  <si>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</si>
  <si>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</si>
  <si>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</si>
  <si>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</si>
  <si>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</si>
  <si>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</si>
  <si>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</si>
  <si>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</si>
  <si>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</si>
  <si>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</si>
  <si>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</si>
  <si>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</si>
  <si>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</si>
  <si>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</si>
  <si>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</si>
  <si>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</si>
  <si>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</si>
  <si>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</si>
  <si>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</si>
  <si>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</si>
  <si>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</si>
  <si>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</si>
  <si>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</si>
  <si>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</si>
  <si>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</si>
  <si>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</si>
  <si>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</si>
  <si>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</si>
  <si>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</si>
  <si>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</si>
  <si>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</si>
  <si>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</si>
  <si>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</si>
  <si>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</si>
  <si>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</si>
  <si>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</si>
  <si>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</si>
  <si>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</si>
  <si>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</si>
  <si>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</si>
  <si>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</si>
  <si>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</si>
  <si>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</si>
  <si>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</si>
  <si>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</si>
  <si>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</si>
  <si>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</si>
  <si>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</si>
  <si>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</si>
  <si>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</si>
  <si>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</si>
  <si>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</si>
  <si>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</si>
  <si>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</si>
  <si>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</si>
  <si>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</si>
  <si>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</si>
  <si>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</si>
  <si>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</si>
  <si>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</si>
  <si>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</si>
  <si>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</si>
  <si>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</si>
  <si>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</si>
  <si>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</si>
  <si>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</si>
  <si>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</si>
  <si>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</si>
  <si>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</si>
  <si>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</si>
  <si>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</si>
  <si>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</si>
  <si>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</si>
  <si>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</si>
  <si>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</si>
  <si>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</si>
  <si>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</si>
  <si>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</si>
  <si>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</si>
  <si>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</si>
  <si>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</si>
  <si>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</si>
  <si>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</si>
  <si>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</si>
  <si>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</si>
  <si>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</si>
  <si>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</si>
  <si>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</si>
  <si>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</si>
  <si>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</si>
  <si>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</si>
  <si>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</si>
  <si>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</si>
  <si>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</si>
  <si>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</si>
  <si>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</si>
  <si>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</si>
  <si>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</si>
  <si>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</si>
  <si>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</si>
  <si>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</si>
  <si>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</si>
  <si>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</si>
  <si>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</si>
  <si>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</si>
  <si>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</si>
  <si>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</si>
  <si>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</si>
  <si>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</si>
  <si>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</si>
  <si>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</si>
  <si>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</si>
  <si>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</si>
  <si>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</si>
  <si>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</si>
  <si>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</si>
  <si>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</si>
  <si>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</si>
  <si>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</si>
  <si>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</si>
  <si>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</si>
  <si>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</si>
  <si>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</si>
  <si>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</si>
  <si>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</si>
  <si>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</si>
  <si>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</si>
  <si>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</si>
  <si>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</si>
  <si>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</si>
  <si>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</si>
  <si>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</si>
  <si>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</si>
  <si>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</si>
  <si>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</si>
  <si>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</si>
  <si>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</si>
  <si>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</si>
  <si>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</si>
  <si>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</si>
  <si>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</si>
  <si>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</si>
  <si>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</si>
  <si>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</si>
  <si>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</si>
  <si>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</si>
  <si>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</si>
  <si>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</si>
  <si>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</si>
  <si>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</si>
  <si>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</si>
  <si>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</si>
  <si>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</si>
  <si>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</si>
  <si>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</si>
  <si>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</si>
  <si>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</si>
  <si>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</si>
  <si>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</si>
  <si>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</si>
  <si>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</si>
  <si>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</si>
  <si>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</si>
  <si>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</si>
  <si>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</si>
  <si>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</si>
  <si>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</si>
  <si>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</si>
  <si>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</si>
  <si>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</si>
  <si>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</si>
  <si>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</si>
  <si>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</si>
  <si>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</si>
  <si>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</si>
  <si>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</si>
  <si>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</si>
  <si>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</si>
  <si>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</si>
  <si>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</si>
  <si>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</si>
  <si>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</si>
  <si>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</si>
  <si>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</si>
  <si>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</si>
  <si>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</si>
  <si>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</si>
  <si>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</si>
  <si>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</si>
  <si>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</si>
  <si>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</si>
  <si>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</si>
  <si>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</si>
  <si>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</si>
  <si>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</si>
  <si>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</si>
  <si>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</si>
  <si>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</si>
  <si>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</si>
  <si>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</si>
  <si>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</si>
  <si>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</si>
  <si>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</si>
  <si>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</si>
  <si>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</si>
  <si>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</si>
  <si>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</si>
  <si>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</si>
  <si>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</si>
  <si>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</si>
  <si>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</si>
  <si>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</si>
  <si>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</si>
  <si>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</si>
  <si>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</si>
  <si>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</si>
  <si>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</si>
  <si>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</si>
  <si>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</si>
  <si>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</si>
  <si>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</si>
  <si>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</si>
  <si>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</si>
  <si>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</si>
  <si>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</si>
  <si>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</si>
  <si>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</si>
  <si>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</si>
  <si>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</si>
  <si>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</si>
  <si>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</si>
  <si>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</si>
  <si>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</si>
  <si>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</si>
  <si>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</si>
  <si>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</si>
  <si>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</si>
  <si>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</si>
  <si>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</si>
  <si>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</si>
  <si>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</si>
  <si>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</si>
  <si>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</si>
  <si>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</si>
  <si>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</si>
  <si>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</si>
  <si>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</si>
  <si>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</si>
  <si>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</si>
  <si>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</si>
  <si>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</si>
  <si>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</si>
  <si>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</si>
  <si>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</si>
  <si>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</si>
  <si>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</si>
  <si>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</si>
  <si>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</si>
  <si>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</si>
  <si>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</si>
  <si>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</si>
  <si>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</si>
  <si>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</si>
  <si>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</si>
  <si>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</si>
  <si>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</si>
  <si>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</si>
  <si>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</si>
  <si>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</si>
  <si>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</si>
  <si>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</si>
  <si>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</si>
  <si>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</si>
  <si>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</si>
  <si>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</si>
  <si>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</si>
  <si>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</si>
  <si>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</si>
  <si>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</si>
  <si>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</si>
  <si>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</si>
  <si>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</si>
  <si>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</si>
  <si>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</si>
  <si>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</si>
  <si>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</si>
  <si>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</si>
  <si>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</si>
  <si>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</si>
  <si>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</si>
  <si>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</si>
  <si>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</si>
  <si>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</si>
  <si>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</si>
  <si>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</si>
  <si>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</si>
  <si>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</si>
  <si>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</si>
  <si>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</si>
  <si>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</si>
  <si>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</si>
  <si>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</si>
  <si>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</si>
  <si>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</si>
  <si>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</si>
  <si>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</si>
  <si>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</si>
  <si>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</si>
  <si>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</si>
  <si>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</si>
  <si>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</si>
  <si>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</si>
  <si>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</si>
  <si>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</si>
  <si>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</si>
  <si>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</si>
  <si>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</si>
  <si>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</si>
  <si>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</si>
  <si>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</si>
  <si>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</si>
  <si>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</si>
  <si>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</si>
  <si>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</si>
  <si>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</si>
  <si>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</si>
  <si>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</si>
  <si>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</si>
  <si>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</si>
  <si>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</si>
  <si>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</si>
  <si>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</si>
  <si>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</si>
  <si>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</si>
  <si>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</si>
  <si>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</si>
  <si>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</si>
  <si>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</si>
  <si>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</si>
  <si>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</si>
  <si>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</si>
  <si>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</si>
  <si>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</si>
  <si>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</si>
  <si>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</si>
  <si>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</si>
  <si>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</si>
  <si>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</si>
  <si>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</si>
  <si>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</si>
  <si>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</si>
  <si>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</si>
  <si>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</si>
  <si>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</si>
  <si>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</si>
  <si>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</si>
  <si>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</si>
  <si>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</si>
  <si>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</si>
  <si>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</si>
  <si>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</si>
  <si>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</si>
  <si>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</si>
  <si>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</si>
  <si>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</si>
  <si>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</si>
  <si>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</si>
  <si>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</si>
  <si>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</si>
  <si>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</si>
  <si>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</si>
  <si>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</si>
  <si>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</si>
  <si>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</si>
  <si>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</si>
  <si>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</si>
  <si>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</si>
  <si>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</si>
  <si>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</si>
  <si>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</si>
  <si>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</si>
  <si>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</si>
  <si>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</si>
  <si>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</si>
  <si>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</si>
  <si>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</si>
  <si>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</si>
  <si>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</si>
  <si>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</si>
  <si>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</si>
  <si>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</si>
  <si>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</si>
  <si>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</si>
  <si>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</si>
  <si>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</si>
  <si>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</si>
  <si>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</si>
  <si>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</si>
  <si>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</si>
  <si>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</si>
  <si>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</si>
  <si>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</si>
  <si>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</si>
  <si>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</si>
  <si>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</si>
  <si>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</si>
  <si>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</si>
  <si>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</si>
  <si>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</si>
  <si>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</si>
  <si>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</si>
  <si>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</si>
  <si>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</si>
  <si>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</si>
  <si>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</si>
  <si>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</si>
  <si>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</si>
  <si>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</si>
  <si>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</si>
  <si>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</si>
  <si>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</si>
  <si>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</si>
  <si>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</si>
  <si>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</si>
  <si>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</si>
  <si>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</si>
  <si>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</si>
  <si>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</si>
  <si>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</si>
  <si>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</si>
  <si>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</si>
  <si>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</si>
  <si>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</si>
  <si>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</si>
  <si>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</si>
  <si>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</si>
  <si>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</si>
  <si>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</si>
  <si>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</si>
  <si>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</si>
  <si>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</si>
  <si>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</si>
  <si>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</si>
  <si>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</si>
  <si>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</si>
  <si>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</si>
  <si>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</si>
  <si>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</si>
  <si>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</si>
  <si>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</si>
  <si>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</si>
  <si>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</si>
  <si>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</si>
  <si>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</si>
  <si>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</si>
  <si>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</si>
  <si>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</si>
  <si>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</si>
  <si>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</si>
  <si>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</si>
  <si>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</si>
  <si>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</si>
  <si>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</si>
  <si>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</si>
  <si>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</si>
  <si>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</si>
  <si>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</si>
  <si>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</si>
  <si>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</si>
  <si>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</si>
  <si>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</si>
  <si>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</si>
  <si>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</si>
  <si>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</si>
  <si>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</si>
  <si>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</si>
  <si>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</si>
  <si>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</si>
  <si>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</si>
  <si>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</si>
  <si>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</si>
  <si>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</si>
  <si>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</si>
  <si>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</si>
  <si>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</si>
  <si>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</si>
  <si>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</si>
  <si>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</si>
  <si>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</si>
  <si>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</si>
  <si>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</si>
  <si>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</si>
  <si>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</si>
  <si>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</si>
  <si>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</si>
  <si>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</si>
  <si>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</si>
  <si>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</si>
  <si>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</si>
  <si>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</si>
  <si>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</si>
  <si>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</si>
  <si>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</si>
  <si>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</si>
  <si>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</si>
  <si>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</si>
  <si>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</si>
  <si>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</si>
  <si>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</si>
  <si>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</si>
  <si>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</si>
  <si>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</si>
  <si>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</si>
  <si>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</si>
  <si>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</si>
  <si>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</si>
  <si>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</si>
  <si>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</si>
  <si>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</si>
  <si>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</si>
  <si>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</si>
  <si>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</si>
  <si>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</si>
  <si>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</si>
  <si>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</si>
  <si>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</si>
  <si>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</si>
  <si>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</si>
  <si>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</si>
  <si>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</si>
  <si>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</si>
  <si>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</si>
  <si>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</si>
  <si>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</si>
  <si>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</si>
  <si>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</si>
  <si>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</si>
  <si>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</si>
  <si>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</si>
  <si>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</si>
  <si>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</si>
  <si>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</si>
  <si>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</si>
  <si>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</si>
  <si>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</si>
  <si>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</si>
  <si>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</si>
  <si>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</si>
  <si>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</si>
  <si>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</si>
  <si>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</si>
  <si>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</si>
  <si>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</si>
  <si>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</si>
  <si>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</si>
  <si>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</si>
  <si>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</si>
  <si>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</si>
  <si>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</si>
  <si>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</si>
  <si>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</si>
  <si>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</si>
  <si>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</si>
  <si>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</si>
  <si>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</si>
  <si>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</si>
  <si>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</si>
  <si>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</si>
  <si>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</si>
  <si>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</si>
  <si>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</si>
  <si>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</si>
  <si>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</si>
  <si>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</si>
  <si>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</si>
  <si>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</si>
  <si>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</si>
  <si>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</si>
  <si>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</si>
  <si>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</si>
  <si>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</si>
  <si>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</si>
  <si>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</si>
  <si>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</si>
  <si>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</si>
  <si>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</si>
  <si>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</si>
  <si>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</si>
  <si>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</si>
  <si>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</si>
  <si>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</si>
  <si>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</si>
  <si>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</si>
  <si>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</si>
  <si>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</si>
  <si>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</si>
  <si>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</si>
  <si>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</si>
  <si>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</si>
  <si>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</si>
  <si>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</si>
  <si>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</si>
  <si>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</si>
  <si>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</si>
  <si>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</si>
  <si>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</si>
  <si>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</si>
  <si>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</si>
  <si>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</si>
  <si>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</si>
  <si>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</si>
  <si>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</si>
  <si>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</si>
  <si>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</si>
  <si>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</si>
  <si>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</si>
  <si>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</si>
  <si>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</si>
  <si>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</si>
  <si>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</si>
  <si>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</si>
  <si>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</si>
  <si>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</si>
  <si>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</si>
  <si>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</si>
  <si>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</si>
  <si>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</si>
  <si>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</si>
  <si>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</si>
  <si>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</si>
  <si>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</si>
  <si>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</si>
  <si>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</si>
  <si>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</si>
  <si>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</si>
  <si>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</si>
  <si>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</si>
  <si>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</si>
  <si>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</si>
  <si>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</si>
  <si>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</si>
  <si>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</si>
  <si>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</si>
  <si>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</si>
  <si>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</si>
  <si>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</si>
  <si>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</si>
  <si>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</si>
  <si>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</si>
  <si>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</si>
  <si>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</si>
  <si>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</si>
  <si>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</si>
  <si>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</si>
  <si>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</si>
  <si>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</si>
  <si>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</si>
  <si>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</si>
  <si>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</si>
  <si>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</si>
  <si>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</si>
  <si>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</si>
  <si>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</si>
  <si>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</si>
  <si>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</si>
  <si>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</si>
  <si>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</si>
  <si>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</si>
  <si>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</si>
  <si>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</si>
  <si>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</si>
  <si>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</si>
  <si>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</si>
  <si>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</si>
  <si>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</si>
  <si>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</si>
  <si>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</si>
  <si>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</si>
  <si>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</si>
  <si>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</si>
  <si>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</si>
  <si>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</si>
  <si>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</si>
  <si>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</si>
  <si>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</si>
  <si>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</si>
  <si>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</si>
  <si>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</si>
  <si>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</si>
  <si>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</si>
  <si>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</si>
  <si>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</si>
  <si>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</si>
  <si>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</si>
  <si>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</si>
  <si>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</si>
  <si>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</si>
  <si>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</si>
  <si>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</si>
  <si>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</si>
  <si>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</si>
  <si>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</si>
  <si>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</si>
  <si>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</si>
  <si>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</si>
  <si>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</si>
  <si>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</si>
  <si>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</si>
  <si>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</si>
  <si>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</si>
  <si>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</si>
  <si>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</si>
  <si>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</si>
  <si>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</si>
  <si>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</si>
  <si>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</si>
  <si>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</si>
  <si>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</si>
  <si>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</si>
  <si>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</si>
  <si>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</si>
  <si>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</si>
  <si>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</si>
  <si>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</si>
  <si>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</si>
  <si>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</si>
  <si>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</si>
  <si>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</si>
  <si>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</si>
  <si>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</si>
  <si>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</si>
  <si>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</si>
  <si>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</si>
  <si>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</si>
  <si>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</si>
  <si>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</si>
  <si>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</si>
  <si>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</si>
  <si>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</si>
  <si>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</si>
  <si>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</si>
  <si>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</si>
  <si>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</si>
  <si>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</si>
  <si>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</si>
  <si>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</si>
  <si>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</si>
  <si>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</si>
  <si>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</si>
  <si>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</si>
  <si>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</si>
  <si>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</si>
  <si>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</si>
  <si>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</si>
  <si>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</si>
  <si>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</si>
  <si>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</si>
  <si>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</si>
  <si>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</si>
  <si>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</si>
  <si>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</si>
  <si>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</si>
  <si>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</si>
  <si>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</si>
  <si>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</si>
  <si>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</si>
  <si>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</si>
  <si>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</si>
  <si>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</si>
  <si>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</si>
  <si>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</si>
  <si>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</si>
  <si>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</si>
  <si>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</si>
  <si>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</si>
  <si>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</si>
  <si>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</si>
  <si>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</si>
  <si>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</si>
  <si>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</si>
  <si>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</si>
  <si>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</si>
  <si>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</si>
  <si>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</si>
  <si>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</si>
  <si>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</si>
  <si>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</si>
  <si>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</si>
  <si>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</si>
  <si>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</si>
  <si>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</si>
  <si>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</si>
  <si>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</si>
  <si>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</si>
  <si>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</si>
  <si>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</si>
  <si>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</si>
  <si>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</si>
  <si>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</si>
  <si>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</si>
  <si>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</si>
  <si>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</si>
  <si>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</si>
  <si>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</si>
  <si>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</si>
  <si>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</si>
  <si>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</si>
  <si>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</si>
  <si>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</si>
  <si>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</si>
  <si>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</si>
  <si>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</si>
  <si>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</si>
  <si>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</si>
  <si>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</si>
  <si>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</si>
  <si>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</si>
  <si>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</si>
  <si>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</si>
  <si>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</si>
  <si>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</si>
  <si>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</si>
  <si>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</si>
  <si>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</si>
  <si>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</si>
  <si>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</si>
  <si>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</si>
  <si>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</si>
  <si>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</si>
  <si>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</si>
  <si>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</si>
  <si>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</si>
  <si>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</si>
  <si>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</si>
  <si>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</si>
  <si>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</si>
  <si>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</si>
  <si>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</si>
  <si>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</si>
  <si>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</si>
  <si>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</si>
  <si>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</si>
  <si>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</si>
  <si>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</si>
  <si>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</si>
  <si>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</si>
  <si>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</si>
  <si>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</si>
  <si>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</si>
  <si>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</si>
  <si>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</si>
  <si>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</si>
  <si>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</si>
  <si>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</si>
  <si>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</si>
  <si>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</si>
  <si>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</si>
  <si>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</si>
  <si>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</si>
  <si>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</si>
  <si>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</si>
  <si>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</si>
  <si>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</si>
  <si>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</si>
  <si>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</si>
  <si>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Mr. Arshad Nazir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</si>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</sst>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0B6A6F8-ACE6-4D23-BF97-B7C099C949D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0B6A6F8-ACE6-4D23-BF97-B7C099C949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2FA4AFB-C3C3-4959-A1F9-1BD28A700ED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0B6A6F8-ACE6-4D23-BF97-B7C099C949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491F105-6DE1-49EC-8711-D6AD3EE8C6F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1302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1306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1309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1310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1311</v>
      </c>
      <c r="D51" s="329" t="s">
        <v>407</v>
      </c>
      <c r="E51" s="189" t="s">
        <v>538</v>
      </c>
      <c r="F51" s="329" t="s">
        <v>1312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1313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1314</v>
      </c>
      <c r="F59" s="336" t="s">
        <v>1315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1316</v>
      </c>
      <c r="F60" s="336" t="s">
        <v>1317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1318</v>
      </c>
      <c r="F61" s="336" t="s">
        <v>1319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1320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1321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1324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1325</v>
      </c>
      <c r="G12" s="164"/>
      <c r="H12" s="79" t="s">
        <v>573</v>
      </c>
      <c r="I12" s="350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1328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1329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1330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1331</v>
      </c>
      <c r="F5" s="106" t="s">
        <v>1332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1333</v>
      </c>
      <c r="G6" s="270" t="s">
        <v>1054</v>
      </c>
      <c r="H6" s="113" t="s">
        <v>1334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1335</v>
      </c>
      <c r="D7" s="47" t="s">
        <v>523</v>
      </c>
      <c r="E7" s="47" t="s">
        <v>531</v>
      </c>
      <c r="F7" s="47" t="s">
        <v>1336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1337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1338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1339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1340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1341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1342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