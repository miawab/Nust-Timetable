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384A3B7_6F7C_468F_AED4_71033F19CF91_.wvu.FilterData">'LMS Data'!$A$1:$H$186</definedName>
    <definedName hidden="1" localSheetId="2" name="Z_D175A4C0_D20C_4AEE_85A6_787A5D7F7F53_.wvu.FilterData">'Faculty Timetable'!$A$1:$G$1087</definedName>
    <definedName hidden="1" localSheetId="4" name="Z_D175A4C0_D20C_4AEE_85A6_787A5D7F7F53_.wvu.FilterData">Overall!$A$1:$H$268</definedName>
    <definedName hidden="1" localSheetId="5" name="Z_D175A4C0_D20C_4AEE_85A6_787A5D7F7F53_.wvu.FilterData">'LMS Data'!$A$1:$H$186</definedName>
    <definedName hidden="1" localSheetId="16" name="Z_5781F123_51C2_424A_9479_87A8B6BDB2DD_.wvu.FilterData">'2K23-CS13'!$A$1:$I$56</definedName>
  </definedNames>
  <calcPr/>
  <customWorkbookViews>
    <customWorkbookView activeSheetId="0" maximized="1" windowHeight="0" windowWidth="0" guid="{D175A4C0-D20C-4AEE-85A6-787A5D7F7F53}" name="Ehtisham"/>
    <customWorkbookView activeSheetId="0" maximized="1" windowHeight="0" windowWidth="0" guid="{5781F123-51C2-424A-9479-87A8B6BDB2DD}" name="Waqar Ahmed"/>
    <customWorkbookView activeSheetId="0" maximized="1" windowHeight="0" windowWidth="0" guid="{B384A3B7-6F7C-468F-AED4-71033F19CF91}" name="Ali Abbas Hussani"/>
  </customWorkbookViews>
</workbook>
</file>

<file path=xl/sharedStrings.xml><?xml version="1.0" encoding="utf-8"?>
<sst xmlns="http://schemas.openxmlformats.org/spreadsheetml/2006/main" count="15331" uniqueCount="1341">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</sst>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175A4C0-D20C-4AEE-85A6-787A5D7F7F5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175A4C0-D20C-4AEE-85A6-787A5D7F7F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384A3B7-6F7C-468F-AED4-71033F19CF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75A4C0-D20C-4AEE-85A6-787A5D7F7F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781F123-51C2-424A-9479-87A8B6BDB2D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288" t="s">
        <v>1047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1307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1308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1309</v>
      </c>
      <c r="D51" s="329" t="s">
        <v>407</v>
      </c>
      <c r="E51" s="189" t="s">
        <v>538</v>
      </c>
      <c r="F51" s="329" t="s">
        <v>1310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1311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1312</v>
      </c>
      <c r="F59" s="336" t="s">
        <v>1313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1314</v>
      </c>
      <c r="F60" s="336" t="s">
        <v>1315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1316</v>
      </c>
      <c r="F61" s="336" t="s">
        <v>1317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1318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1319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1323</v>
      </c>
      <c r="G12" s="164"/>
      <c r="H12" s="79" t="s">
        <v>573</v>
      </c>
      <c r="I12" s="350" t="s">
        <v>1075</v>
      </c>
      <c r="J12" s="345"/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1325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1326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1328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1329</v>
      </c>
      <c r="F5" s="106" t="s">
        <v>1330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1331</v>
      </c>
      <c r="G6" s="270" t="s">
        <v>1054</v>
      </c>
      <c r="H6" s="113" t="s">
        <v>1332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1333</v>
      </c>
      <c r="D7" s="47" t="s">
        <v>523</v>
      </c>
      <c r="E7" s="47" t="s">
        <v>531</v>
      </c>
      <c r="F7" s="47" t="s">
        <v>1334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1335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1337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1338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1339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1340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1340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1340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