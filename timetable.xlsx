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F01F19E_B97D_4033_A073_DF8AFF1D9713_.wvu.FilterData">'2K23-CS13'!$A$1:$I$56</definedName>
    <definedName hidden="1" localSheetId="2" name="Z_FD22C2D5_5AB7_4786_90E2_06DDBE33AC7E_.wvu.FilterData">'Faculty Timetable'!$A$1:$G$1087</definedName>
    <definedName hidden="1" localSheetId="4" name="Z_FD22C2D5_5AB7_4786_90E2_06DDBE33AC7E_.wvu.FilterData">Overall!$A$1:$H$268</definedName>
    <definedName hidden="1" localSheetId="5" name="Z_FD22C2D5_5AB7_4786_90E2_06DDBE33AC7E_.wvu.FilterData">'LMS Data'!$A$1:$H$186</definedName>
    <definedName hidden="1" localSheetId="5" name="Z_8D214290_BA6C_48D8_A267_140903304358_.wvu.FilterData">'LMS Data'!$A$1:$H$186</definedName>
  </definedNames>
  <calcPr/>
  <customWorkbookViews>
    <customWorkbookView activeSheetId="0" maximized="1" windowHeight="0" windowWidth="0" guid="{FD22C2D5-5AB7-4786-90E2-06DDBE33AC7E}" name="Ehtisham"/>
    <customWorkbookView activeSheetId="0" maximized="1" windowHeight="0" windowWidth="0" guid="{AF01F19E-B97D-4033-A073-DF8AFF1D9713}" name="Waqar Ahmed"/>
    <customWorkbookView activeSheetId="0" maximized="1" windowHeight="0" windowWidth="0" guid="{8D214290-BA6C-48D8-A267-140903304358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<sst xmlns="http://schemas.openxmlformats.org/spreadsheetml/2006/main" count="15244" uniqueCount="1412">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</sst>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D22C2D5-5AB7-4786-90E2-06DDBE33AC7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D22C2D5-5AB7-4786-90E2-06DDBE33AC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D214290-BA6C-48D8-A267-1409033043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D22C2D5-5AB7-4786-90E2-06DDBE33AC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F01F19E-B97D-4033-A073-DF8AFF1D971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1313</v>
      </c>
      <c r="E12" s="289" t="s">
        <v>1314</v>
      </c>
      <c r="F12" s="295" t="s">
        <v>1315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1317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1318</v>
      </c>
      <c r="E18" s="283" t="s">
        <v>491</v>
      </c>
      <c r="F18" s="283" t="s">
        <v>484</v>
      </c>
      <c r="G18" s="291" t="s">
        <v>1041</v>
      </c>
      <c r="H18" s="104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1320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1320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1320</v>
      </c>
      <c r="D23" s="295" t="s">
        <v>1321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1323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1324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1325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1326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1325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1327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1328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1330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1331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1332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1333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1334</v>
      </c>
      <c r="D45" s="293" t="s">
        <v>488</v>
      </c>
      <c r="E45" s="301" t="s">
        <v>1029</v>
      </c>
      <c r="F45" s="289" t="s">
        <v>1333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1335</v>
      </c>
      <c r="F48" s="283" t="s">
        <v>1336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1337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1338</v>
      </c>
      <c r="F50" s="283" t="s">
        <v>1339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1340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1341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1342</v>
      </c>
      <c r="F53" s="283" t="s">
        <v>1343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1345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1347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1349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1350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1351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1352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1352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1354</v>
      </c>
      <c r="E37" s="289" t="s">
        <v>1355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1356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1357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1357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1358</v>
      </c>
      <c r="F45" s="329" t="s">
        <v>530</v>
      </c>
      <c r="G45" s="157"/>
      <c r="H45" s="39" t="s">
        <v>1357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1360</v>
      </c>
      <c r="E48" s="329" t="s">
        <v>530</v>
      </c>
      <c r="F48" s="331" t="s">
        <v>549</v>
      </c>
      <c r="G48" s="34" t="s">
        <v>1030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1362</v>
      </c>
      <c r="E49" s="329" t="s">
        <v>530</v>
      </c>
      <c r="F49" s="295" t="s">
        <v>1363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1364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1365</v>
      </c>
      <c r="D51" s="330" t="s">
        <v>405</v>
      </c>
      <c r="E51" s="182" t="s">
        <v>554</v>
      </c>
      <c r="F51" s="330" t="s">
        <v>1366</v>
      </c>
      <c r="G51" s="138" t="s">
        <v>1041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1368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1369</v>
      </c>
      <c r="F59" s="339" t="s">
        <v>1370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1371</v>
      </c>
      <c r="F60" s="339" t="s">
        <v>1372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1373</v>
      </c>
      <c r="F61" s="339" t="s">
        <v>1374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1375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1376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1377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1380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1381</v>
      </c>
      <c r="G12" s="157"/>
      <c r="H12" s="53" t="s">
        <v>570</v>
      </c>
      <c r="I12" s="352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1319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1384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1385</v>
      </c>
      <c r="G12" s="157"/>
      <c r="H12" s="361" t="s">
        <v>1029</v>
      </c>
      <c r="I12" s="366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1386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1387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1388</v>
      </c>
      <c r="F5" s="39" t="s">
        <v>1389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1390</v>
      </c>
      <c r="G6" s="269" t="s">
        <v>1037</v>
      </c>
      <c r="H6" s="105" t="s">
        <v>1391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1392</v>
      </c>
      <c r="D7" s="36" t="s">
        <v>519</v>
      </c>
      <c r="E7" s="36" t="s">
        <v>527</v>
      </c>
      <c r="F7" s="36" t="s">
        <v>1393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1394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1394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1395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1397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1398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1399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1400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1400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1401</v>
      </c>
      <c r="D12" s="39" t="s">
        <v>1402</v>
      </c>
      <c r="E12" s="362" t="s">
        <v>488</v>
      </c>
      <c r="F12" s="362" t="s">
        <v>596</v>
      </c>
      <c r="G12" s="157"/>
      <c r="H12" s="154" t="s">
        <v>1403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1404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1405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1406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1407</v>
      </c>
      <c r="E9" s="371" t="s">
        <v>602</v>
      </c>
      <c r="F9" s="388" t="s">
        <v>1408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1407</v>
      </c>
      <c r="E11" s="371" t="s">
        <v>602</v>
      </c>
      <c r="F11" s="388" t="s">
        <v>1409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1410</v>
      </c>
      <c r="D12" s="388" t="s">
        <v>1407</v>
      </c>
      <c r="E12" s="371" t="s">
        <v>602</v>
      </c>
      <c r="F12" s="388" t="s">
        <v>1411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